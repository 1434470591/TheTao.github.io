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40" activeTab="1"/>
  </bookViews>
  <sheets>
    <sheet name="MIMO" sheetId="2" r:id="rId1"/>
    <sheet name="SISO" sheetId="5" r:id="rId2"/>
    <sheet name="Blockage" sheetId="3" r:id="rId3"/>
    <sheet name="U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<sst xmlns="http://schemas.openxmlformats.org/spreadsheetml/2006/main" count="66" uniqueCount="28">
  <si>
    <t>model</t>
  </si>
  <si>
    <t>ours</t>
  </si>
  <si>
    <t>lstm</t>
  </si>
  <si>
    <t>STEMGNN</t>
  </si>
  <si>
    <t>LLM4CP</t>
  </si>
  <si>
    <t>metric</t>
  </si>
  <si>
    <t>nmse</t>
  </si>
  <si>
    <t>sgcs</t>
  </si>
  <si>
    <t>FLOPs</t>
  </si>
  <si>
    <t>Params</t>
  </si>
  <si>
    <t>x</t>
  </si>
  <si>
    <t>CNN</t>
  </si>
  <si>
    <t>LSTM</t>
  </si>
  <si>
    <t>Transformer</t>
  </si>
  <si>
    <t>bloackge</t>
  </si>
  <si>
    <t>UE Prediction</t>
  </si>
  <si>
    <t>Visual Backbone</t>
  </si>
  <si>
    <t>Radio Backbone</t>
  </si>
  <si>
    <t>Acc</t>
  </si>
  <si>
    <t>F1macro</t>
  </si>
  <si>
    <t>Mae</t>
  </si>
  <si>
    <t>Rmse</t>
  </si>
  <si>
    <t>Simple CNN</t>
  </si>
  <si>
    <t>MLP</t>
  </si>
  <si>
    <t>resnet18</t>
  </si>
  <si>
    <t>resnet18(frozen)</t>
  </si>
  <si>
    <t>FLOPs (mm): 6083235840.00</t>
  </si>
  <si>
    <t>Params (mm): 11222339.00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</si>
</sst>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6">
    <font>
      <sz val="11"/>
      <color theme="1"/>
      <name val="等线"/>
      <charset val="134"/>
      <scheme val="minor"/>
    </font>
    <font>
      <sz val="12"/>
      <color theme="1"/>
      <name val="Times New Roman Regular"/>
      <charset val="134"/>
    </font>
    <font>
      <sz val="11"/>
      <color theme="1"/>
      <name val="Times New Roman Regular"/>
      <charset val="134"/>
    </font>
    <font>
      <sz val="12"/>
      <color rgb="FF000000"/>
      <name val="等线"/>
      <charset val="134"/>
      <scheme val="minor"/>
    </font>
    <font>
      <sz val="12"/>
      <color rgb="FF000000"/>
      <name val="Times New Roman Regular"/>
      <charset val="134"/>
    </font>
    <font>
      <b/>
      <sz val="12"/>
      <color rgb="FF000000"/>
      <name val="Times New Roman Bold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176" fontId="2" fillId="0" borderId="0" xfId="0" applyNumberFormat="1" applyFont="1"/>
    <xf numFmtId="1" fontId="2" fillId="0" borderId="0" xfId="0" applyNumberFormat="1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176" fontId="6" fillId="0" borderId="0" xfId="0" applyNumberFormat="1" applyFont="1"/>
    <xf numFmtId="1" fontId="6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workbookViewId="0">
      <selection activeCell="B12" sqref="A1:R15"/>
    </sheetView>
  </sheetViews>
  <sheetFormatPr defaultColWidth="9.14285714285714" defaultRowHeight="16.8"/>
  <cols>
    <col min="5" max="5" width="15.5714285714286"/>
    <col min="6" max="6" width="12.4285714285714"/>
    <col min="9" max="9" width="14.5714285714286"/>
    <col min="10" max="10" width="13.5"/>
    <col min="13" max="13" width="15.5714285714286"/>
    <col min="14" max="14" width="12.4285714285714"/>
    <col min="17" max="17" width="14.5714285714286"/>
    <col min="18" max="18" width="11.4285714285714"/>
  </cols>
  <sheetData>
    <row r="1" spans="1:18">
      <c r="A1" s="9" t="s">
        <v>0</v>
      </c>
      <c r="B1" s="9"/>
      <c r="C1" s="9" t="s">
        <v>1</v>
      </c>
      <c r="D1" s="9"/>
      <c r="E1" s="9"/>
      <c r="F1" s="9"/>
      <c r="G1" s="9" t="s">
        <v>2</v>
      </c>
      <c r="H1" s="9"/>
      <c r="I1" s="9"/>
      <c r="J1" s="9"/>
      <c r="K1" s="9" t="s">
        <v>3</v>
      </c>
      <c r="L1" s="9"/>
      <c r="M1" s="9"/>
      <c r="N1" s="9"/>
      <c r="O1" s="9" t="s">
        <v>4</v>
      </c>
      <c r="P1" s="9"/>
      <c r="Q1" s="9"/>
      <c r="R1" s="9"/>
    </row>
    <row r="2" spans="1:18">
      <c r="A2" s="9" t="s">
        <v>5</v>
      </c>
      <c r="B2" s="9"/>
      <c r="C2" s="9" t="s">
        <v>6</v>
      </c>
      <c r="D2" s="9" t="s">
        <v>7</v>
      </c>
      <c r="E2" s="9" t="s">
        <v>8</v>
      </c>
      <c r="F2" s="9" t="s">
        <v>9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6</v>
      </c>
      <c r="L2" s="9" t="s">
        <v>7</v>
      </c>
      <c r="M2" s="9" t="s">
        <v>8</v>
      </c>
      <c r="N2" s="9" t="s">
        <v>9</v>
      </c>
      <c r="O2" s="9" t="s">
        <v>6</v>
      </c>
      <c r="P2" s="9" t="s">
        <v>7</v>
      </c>
      <c r="Q2" s="9" t="s">
        <v>8</v>
      </c>
      <c r="R2" s="9" t="s">
        <v>9</v>
      </c>
    </row>
    <row r="3" spans="1:18">
      <c r="A3" s="9">
        <v>30</v>
      </c>
      <c r="B3" s="9">
        <v>2</v>
      </c>
      <c r="C3" s="9">
        <v>0.0065</v>
      </c>
      <c r="D3" s="9">
        <v>0.9645</v>
      </c>
      <c r="E3" s="10">
        <v>23229725184</v>
      </c>
      <c r="F3" s="10">
        <v>63463336</v>
      </c>
      <c r="G3" s="9">
        <v>0.179421735045938</v>
      </c>
      <c r="H3" s="9">
        <v>0.678069472312927</v>
      </c>
      <c r="I3" s="10">
        <v>1863983104</v>
      </c>
      <c r="J3" s="10">
        <v>146872326</v>
      </c>
      <c r="K3" s="9">
        <v>0.0719643370420907</v>
      </c>
      <c r="L3" s="9">
        <v>0.926710724830627</v>
      </c>
      <c r="M3" s="10">
        <v>26357579776</v>
      </c>
      <c r="N3" s="10">
        <v>12857990</v>
      </c>
      <c r="O3" s="9">
        <v>0.0363</v>
      </c>
      <c r="P3" s="9">
        <v>0.9076</v>
      </c>
      <c r="Q3" s="10">
        <v>7371229696</v>
      </c>
      <c r="R3" s="10">
        <v>6975548</v>
      </c>
    </row>
    <row r="4" spans="1:18">
      <c r="A4" s="9"/>
      <c r="B4" s="9">
        <v>4</v>
      </c>
      <c r="C4" s="9">
        <v>0.0499</v>
      </c>
      <c r="D4" s="9">
        <v>0.8969</v>
      </c>
      <c r="E4" s="10">
        <v>23229774336</v>
      </c>
      <c r="F4" s="10">
        <v>63463362</v>
      </c>
      <c r="G4" s="9">
        <v>0.21589036901845</v>
      </c>
      <c r="H4" s="9">
        <v>0.645561695098877</v>
      </c>
      <c r="I4" s="10">
        <v>2157871104</v>
      </c>
      <c r="J4" s="10">
        <v>146872340</v>
      </c>
      <c r="K4" s="9">
        <v>0.228003078147883</v>
      </c>
      <c r="L4" s="9">
        <v>0.783979117870331</v>
      </c>
      <c r="M4" s="10">
        <v>26357628928</v>
      </c>
      <c r="N4" s="10">
        <v>12858016</v>
      </c>
      <c r="O4" s="9">
        <v>0.0721</v>
      </c>
      <c r="P4" s="9">
        <v>0.8488</v>
      </c>
      <c r="Q4" s="10">
        <v>7374393856</v>
      </c>
      <c r="R4" s="10">
        <v>6975574</v>
      </c>
    </row>
    <row r="5" spans="1:18">
      <c r="A5" s="9"/>
      <c r="B5" s="9">
        <v>8</v>
      </c>
      <c r="C5" s="9">
        <v>0.1265</v>
      </c>
      <c r="D5" s="9">
        <v>0.8024</v>
      </c>
      <c r="E5" s="10">
        <v>23229872640</v>
      </c>
      <c r="F5" s="10">
        <v>63463414</v>
      </c>
      <c r="G5" s="9">
        <v>0.586469402628994</v>
      </c>
      <c r="H5" s="9">
        <v>0.37553197145462</v>
      </c>
      <c r="I5" s="10">
        <v>2745696256</v>
      </c>
      <c r="J5" s="10">
        <v>146872392</v>
      </c>
      <c r="K5" s="9">
        <v>0.601172663907713</v>
      </c>
      <c r="L5" s="9">
        <v>0.501960039138794</v>
      </c>
      <c r="M5" s="10">
        <v>26357727232</v>
      </c>
      <c r="N5" s="10">
        <v>12858068</v>
      </c>
      <c r="O5" s="9">
        <v>0.1484</v>
      </c>
      <c r="P5" s="9">
        <v>0.7232</v>
      </c>
      <c r="Q5" s="10">
        <v>7380722176</v>
      </c>
      <c r="R5" s="10">
        <v>6975626</v>
      </c>
    </row>
    <row r="6" spans="1:18">
      <c r="A6" s="9">
        <v>60</v>
      </c>
      <c r="B6" s="9">
        <v>2</v>
      </c>
      <c r="C6" s="9">
        <v>0.1416</v>
      </c>
      <c r="D6" s="9">
        <v>0.738</v>
      </c>
      <c r="E6" s="10">
        <v>23229725184</v>
      </c>
      <c r="F6" s="10">
        <v>63463336</v>
      </c>
      <c r="G6" s="9">
        <v>0.201277425229339</v>
      </c>
      <c r="H6" s="9">
        <v>0.655352294445038</v>
      </c>
      <c r="I6" s="10">
        <v>1863983104</v>
      </c>
      <c r="J6" s="10">
        <v>146872326</v>
      </c>
      <c r="K6" s="9">
        <v>0.517662112694866</v>
      </c>
      <c r="L6" s="9">
        <v>0.434598833322525</v>
      </c>
      <c r="M6" s="10">
        <v>26357579776</v>
      </c>
      <c r="N6" s="10">
        <v>12857990</v>
      </c>
      <c r="O6" s="9">
        <v>0.1503</v>
      </c>
      <c r="P6" s="9">
        <v>0.7158</v>
      </c>
      <c r="Q6" s="10">
        <v>7371229696</v>
      </c>
      <c r="R6" s="10">
        <v>6975548</v>
      </c>
    </row>
    <row r="7" spans="1:18">
      <c r="A7" s="9"/>
      <c r="B7" s="9">
        <v>4</v>
      </c>
      <c r="C7" s="9">
        <v>0.1601</v>
      </c>
      <c r="D7" s="9">
        <v>0.7096</v>
      </c>
      <c r="E7" s="10">
        <v>23229774336</v>
      </c>
      <c r="F7" s="10">
        <v>63463362</v>
      </c>
      <c r="G7" s="9">
        <v>0.211603623646291</v>
      </c>
      <c r="H7" s="9">
        <v>0.64990645647049</v>
      </c>
      <c r="I7" s="10">
        <v>2157871104</v>
      </c>
      <c r="J7" s="10">
        <v>146872340</v>
      </c>
      <c r="K7" s="9">
        <v>0.470923527304571</v>
      </c>
      <c r="L7" s="9">
        <v>0.490650743246078</v>
      </c>
      <c r="M7" s="10">
        <v>26357628928</v>
      </c>
      <c r="N7" s="10">
        <v>12858016</v>
      </c>
      <c r="O7" s="9">
        <v>0.1614</v>
      </c>
      <c r="P7" s="9">
        <v>0.6928</v>
      </c>
      <c r="Q7" s="10">
        <v>7374393856</v>
      </c>
      <c r="R7" s="10">
        <v>6975574</v>
      </c>
    </row>
    <row r="8" spans="1:18">
      <c r="A8" s="9"/>
      <c r="B8" s="9">
        <v>8</v>
      </c>
      <c r="C8" s="9">
        <v>0.2023</v>
      </c>
      <c r="D8" s="9">
        <v>0.6393</v>
      </c>
      <c r="E8" s="10">
        <v>23229872640</v>
      </c>
      <c r="F8" s="10">
        <v>63463414</v>
      </c>
      <c r="G8" s="9">
        <v>0.641337878782963</v>
      </c>
      <c r="H8" s="9">
        <v>0.340133756399155</v>
      </c>
      <c r="I8" s="10">
        <v>2745696256</v>
      </c>
      <c r="J8" s="10">
        <v>146872392</v>
      </c>
      <c r="K8" s="9">
        <v>0.672426180350541</v>
      </c>
      <c r="L8" s="9">
        <v>0.334735959768295</v>
      </c>
      <c r="M8" s="10">
        <v>26357727232</v>
      </c>
      <c r="N8" s="10">
        <v>12858068</v>
      </c>
      <c r="O8" s="9">
        <v>0.1831</v>
      </c>
      <c r="P8" s="9">
        <v>0.6662</v>
      </c>
      <c r="Q8" s="10">
        <v>7380722176</v>
      </c>
      <c r="R8" s="10">
        <v>6975626</v>
      </c>
    </row>
    <row r="9" spans="1:18">
      <c r="A9" s="9">
        <v>120</v>
      </c>
      <c r="B9" s="9">
        <v>2</v>
      </c>
      <c r="C9" s="9">
        <v>0.1719</v>
      </c>
      <c r="D9" s="9">
        <v>0.7042</v>
      </c>
      <c r="E9" s="10">
        <v>23229725184</v>
      </c>
      <c r="F9" s="10">
        <v>63463336</v>
      </c>
      <c r="G9" s="9">
        <v>0.210806599500689</v>
      </c>
      <c r="H9" s="9">
        <v>0.660906374454498</v>
      </c>
      <c r="I9" s="10">
        <v>1863983104</v>
      </c>
      <c r="J9" s="10">
        <v>146872326</v>
      </c>
      <c r="K9" s="9">
        <v>0.519995628552847</v>
      </c>
      <c r="L9" s="9">
        <v>0.44449383020401</v>
      </c>
      <c r="M9" s="10">
        <v>26357579776</v>
      </c>
      <c r="N9" s="10">
        <v>12857990</v>
      </c>
      <c r="O9" s="9">
        <v>0.1634</v>
      </c>
      <c r="P9" s="9">
        <v>0.6873</v>
      </c>
      <c r="Q9" s="10">
        <v>7371229696</v>
      </c>
      <c r="R9" s="10">
        <v>6975548</v>
      </c>
    </row>
    <row r="10" spans="1:18">
      <c r="A10" s="9"/>
      <c r="B10" s="9">
        <v>4</v>
      </c>
      <c r="C10" s="9">
        <v>0.1964</v>
      </c>
      <c r="D10" s="9">
        <v>0.6789</v>
      </c>
      <c r="E10" s="10">
        <v>23229774336</v>
      </c>
      <c r="F10" s="10">
        <v>63463362</v>
      </c>
      <c r="G10" s="9">
        <v>0.471784353456965</v>
      </c>
      <c r="H10" s="9">
        <v>0.474152088165283</v>
      </c>
      <c r="I10" s="10">
        <v>2157871104</v>
      </c>
      <c r="J10" s="10">
        <v>146872340</v>
      </c>
      <c r="K10" s="9">
        <v>0.469939600138263</v>
      </c>
      <c r="L10" s="9">
        <v>0.495488464832306</v>
      </c>
      <c r="M10" s="10">
        <v>26357628928</v>
      </c>
      <c r="N10" s="10">
        <v>12858016</v>
      </c>
      <c r="O10" s="9">
        <v>0.1673</v>
      </c>
      <c r="P10" s="9">
        <v>0.678</v>
      </c>
      <c r="Q10" s="10">
        <v>7374393856</v>
      </c>
      <c r="R10" s="10">
        <v>6975574</v>
      </c>
    </row>
    <row r="11" spans="1:18">
      <c r="A11" s="9"/>
      <c r="B11" s="9">
        <v>8</v>
      </c>
      <c r="C11" s="9">
        <v>0.2151</v>
      </c>
      <c r="D11" s="9">
        <v>0.6243</v>
      </c>
      <c r="E11" s="10">
        <v>23229872640</v>
      </c>
      <c r="F11" s="10">
        <v>63463414</v>
      </c>
      <c r="G11" s="9">
        <v>0.807850397682076</v>
      </c>
      <c r="H11" s="9">
        <v>0.246218308806419</v>
      </c>
      <c r="I11" s="10">
        <v>2745696256</v>
      </c>
      <c r="J11" s="10">
        <v>146872392</v>
      </c>
      <c r="K11" s="9">
        <v>0.870458373359746</v>
      </c>
      <c r="L11" s="9">
        <v>0.180153846740723</v>
      </c>
      <c r="M11" s="10">
        <v>26357727232</v>
      </c>
      <c r="N11" s="10">
        <v>12858068</v>
      </c>
      <c r="O11" s="9">
        <v>0.1902</v>
      </c>
      <c r="P11" s="9">
        <v>0.6581</v>
      </c>
      <c r="Q11" s="10">
        <v>7380722176</v>
      </c>
      <c r="R11" s="10">
        <v>6975626</v>
      </c>
    </row>
    <row r="12" spans="1:18">
      <c r="A12" s="9" t="s">
        <v>10</v>
      </c>
      <c r="B12" s="9">
        <v>2</v>
      </c>
      <c r="C12" s="9">
        <v>0.1141</v>
      </c>
      <c r="D12" s="9">
        <v>0.8009</v>
      </c>
      <c r="E12" s="10">
        <v>23229725184</v>
      </c>
      <c r="F12" s="10">
        <v>63463336</v>
      </c>
      <c r="G12" s="9">
        <v>0.202026072024721</v>
      </c>
      <c r="H12" s="9">
        <v>0.658919870853424</v>
      </c>
      <c r="I12" s="10">
        <v>1863983104</v>
      </c>
      <c r="J12" s="10">
        <v>146872326</v>
      </c>
      <c r="K12" s="9">
        <v>0.350470566927756</v>
      </c>
      <c r="L12" s="9">
        <v>0.618517577648163</v>
      </c>
      <c r="M12" s="10">
        <v>26357579776</v>
      </c>
      <c r="N12" s="10">
        <v>12857990</v>
      </c>
      <c r="O12" s="9">
        <v>0.1341</v>
      </c>
      <c r="P12" s="9">
        <v>0.7488</v>
      </c>
      <c r="Q12" s="10">
        <v>7371229696</v>
      </c>
      <c r="R12" s="10">
        <v>6975548</v>
      </c>
    </row>
    <row r="13" spans="1:18">
      <c r="A13" s="9"/>
      <c r="B13" s="9">
        <v>4</v>
      </c>
      <c r="C13" s="9">
        <v>0.1587</v>
      </c>
      <c r="D13" s="9">
        <v>0.7411</v>
      </c>
      <c r="E13" s="10">
        <v>23229774336</v>
      </c>
      <c r="F13" s="10">
        <v>63463362</v>
      </c>
      <c r="G13" s="9">
        <v>0.482794162022282</v>
      </c>
      <c r="H13" s="9">
        <v>0.44704595208168</v>
      </c>
      <c r="I13" s="10">
        <v>2157871104</v>
      </c>
      <c r="J13" s="10">
        <v>146872340</v>
      </c>
      <c r="K13" s="9">
        <v>0.300177355258803</v>
      </c>
      <c r="L13" s="9">
        <v>0.634667754173279</v>
      </c>
      <c r="M13" s="10">
        <v>26357628928</v>
      </c>
      <c r="N13" s="10">
        <v>12858016</v>
      </c>
      <c r="O13" s="9">
        <v>0.153</v>
      </c>
      <c r="P13" s="9">
        <v>0.7077</v>
      </c>
      <c r="Q13" s="10">
        <v>7374393856</v>
      </c>
      <c r="R13" s="10">
        <v>6975574</v>
      </c>
    </row>
    <row r="14" spans="1:18">
      <c r="A14" s="9"/>
      <c r="B14" s="9">
        <v>8</v>
      </c>
      <c r="C14" s="9">
        <v>0.1921</v>
      </c>
      <c r="D14" s="9">
        <v>0.671</v>
      </c>
      <c r="E14" s="10">
        <v>23229872640</v>
      </c>
      <c r="F14" s="10">
        <v>63463414</v>
      </c>
      <c r="G14" s="9">
        <v>0.792544493862181</v>
      </c>
      <c r="H14" s="9">
        <v>0.242717713117599</v>
      </c>
      <c r="I14" s="10">
        <v>2745696256</v>
      </c>
      <c r="J14" s="10">
        <v>146872392</v>
      </c>
      <c r="K14" s="9">
        <v>0.79804029464403</v>
      </c>
      <c r="L14" s="9">
        <v>0.25547981262207</v>
      </c>
      <c r="M14" s="10">
        <v>26357727232</v>
      </c>
      <c r="N14" s="10">
        <v>12858068</v>
      </c>
      <c r="O14" s="9">
        <v>0.178</v>
      </c>
      <c r="P14" s="9">
        <v>0.6804</v>
      </c>
      <c r="Q14" s="10">
        <v>7380722176</v>
      </c>
      <c r="R14" s="10">
        <v>6975626</v>
      </c>
    </row>
    <row r="15" spans="1:18">
      <c r="A15" s="9"/>
      <c r="B15" s="9"/>
      <c r="C15" s="9">
        <f t="shared" ref="C15:R15" si="0">AVERAGE(C3:C14)</f>
        <v>0.1446</v>
      </c>
      <c r="D15" s="9">
        <f t="shared" si="0"/>
        <v>0.747591666666667</v>
      </c>
      <c r="E15" s="10">
        <f t="shared" si="0"/>
        <v>23229790720</v>
      </c>
      <c r="F15" s="10">
        <f t="shared" si="0"/>
        <v>63463370.6666667</v>
      </c>
      <c r="G15" s="9">
        <f t="shared" si="0"/>
        <v>0.416983876075074</v>
      </c>
      <c r="H15" s="9">
        <f t="shared" si="0"/>
        <v>0.506209662805001</v>
      </c>
      <c r="I15" s="10">
        <f t="shared" si="0"/>
        <v>2255850154.66667</v>
      </c>
      <c r="J15" s="10">
        <f t="shared" si="0"/>
        <v>146872352.666667</v>
      </c>
      <c r="K15" s="9">
        <f t="shared" si="0"/>
        <v>0.489269476527426</v>
      </c>
      <c r="L15" s="9">
        <f t="shared" si="0"/>
        <v>0.508453058699767</v>
      </c>
      <c r="M15" s="10">
        <f t="shared" si="0"/>
        <v>26357645312</v>
      </c>
      <c r="N15" s="10">
        <f t="shared" si="0"/>
        <v>12858024.6666667</v>
      </c>
      <c r="O15" s="9">
        <f t="shared" si="0"/>
        <v>0.1448</v>
      </c>
      <c r="P15" s="9">
        <f t="shared" si="0"/>
        <v>0.726225</v>
      </c>
      <c r="Q15" s="10">
        <f t="shared" si="0"/>
        <v>7375448576</v>
      </c>
      <c r="R15" s="10">
        <f t="shared" si="0"/>
        <v>6975582.66666667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tabSelected="1" workbookViewId="0">
      <selection activeCell="P15" sqref="P15"/>
    </sheetView>
  </sheetViews>
  <sheetFormatPr defaultColWidth="9.14285714285714" defaultRowHeight="16.8"/>
  <cols>
    <col min="3" max="4" width="12.8571428571429"/>
    <col min="5" max="5" width="16.9553571428571" customWidth="1"/>
    <col min="6" max="6" width="19.5714285714286"/>
    <col min="7" max="8" width="10.9285714285714"/>
    <col min="9" max="9" width="15.625" customWidth="1"/>
    <col min="10" max="10" width="12.4285714285714"/>
    <col min="11" max="12" width="10.9285714285714"/>
    <col min="13" max="13" width="14.4375" customWidth="1"/>
    <col min="14" max="14" width="12.4285714285714"/>
    <col min="15" max="16" width="12.8571428571429"/>
    <col min="17" max="17" width="15.3214285714286" customWidth="1"/>
    <col min="18" max="18" width="13.5"/>
  </cols>
  <sheetData>
    <row r="1" spans="1:18">
      <c r="A1" s="4" t="s">
        <v>0</v>
      </c>
      <c r="B1" s="4"/>
      <c r="C1" s="4" t="s">
        <v>1</v>
      </c>
      <c r="D1" s="4"/>
      <c r="E1" s="4"/>
      <c r="F1" s="4"/>
      <c r="G1" s="4" t="s">
        <v>11</v>
      </c>
      <c r="H1" s="4"/>
      <c r="I1" s="4"/>
      <c r="J1" s="4"/>
      <c r="K1" s="4" t="s">
        <v>12</v>
      </c>
      <c r="L1" s="4"/>
      <c r="M1" s="4"/>
      <c r="N1" s="4"/>
      <c r="O1" s="4" t="s">
        <v>13</v>
      </c>
      <c r="P1" s="4"/>
      <c r="Q1" s="4"/>
      <c r="R1" s="4"/>
    </row>
    <row r="2" spans="1:18">
      <c r="A2" s="4" t="s">
        <v>5</v>
      </c>
      <c r="B2" s="4"/>
      <c r="C2" s="4" t="s">
        <v>6</v>
      </c>
      <c r="D2" s="4" t="s">
        <v>7</v>
      </c>
      <c r="E2" s="4" t="s">
        <v>8</v>
      </c>
      <c r="F2" s="4" t="s">
        <v>9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6</v>
      </c>
      <c r="L2" s="4" t="s">
        <v>7</v>
      </c>
      <c r="M2" s="4" t="s">
        <v>8</v>
      </c>
      <c r="N2" s="4" t="s">
        <v>9</v>
      </c>
      <c r="O2" s="4" t="s">
        <v>6</v>
      </c>
      <c r="P2" s="4" t="s">
        <v>7</v>
      </c>
      <c r="Q2" s="4" t="s">
        <v>8</v>
      </c>
      <c r="R2" s="4" t="s">
        <v>9</v>
      </c>
    </row>
    <row r="3" ht="18.35" spans="1:18">
      <c r="A3" s="5">
        <v>30</v>
      </c>
      <c r="B3" s="5">
        <v>2</v>
      </c>
      <c r="C3" s="6">
        <v>0.0246</v>
      </c>
      <c r="D3" s="6">
        <v>0.944</v>
      </c>
      <c r="E3" s="7">
        <v>225.792</v>
      </c>
      <c r="F3" s="7">
        <v>2758608</v>
      </c>
      <c r="G3" s="7">
        <v>0.0123</v>
      </c>
      <c r="H3" s="8">
        <v>0.9542</v>
      </c>
      <c r="I3" s="7">
        <v>377.431</v>
      </c>
      <c r="J3" s="7">
        <v>3.147088</v>
      </c>
      <c r="K3" s="7">
        <v>0.0246</v>
      </c>
      <c r="L3" s="7">
        <v>0.9298</v>
      </c>
      <c r="M3" s="7">
        <v>111.211</v>
      </c>
      <c r="N3" s="7">
        <v>7.397938</v>
      </c>
      <c r="O3" s="7">
        <v>0.0139</v>
      </c>
      <c r="P3" s="7">
        <v>0.9504</v>
      </c>
      <c r="Q3" s="7">
        <v>112.695</v>
      </c>
      <c r="R3" s="7">
        <v>21.078039</v>
      </c>
    </row>
    <row r="4" ht="18.35" spans="1:18">
      <c r="A4" s="5"/>
      <c r="B4" s="5">
        <v>4</v>
      </c>
      <c r="C4" s="7">
        <v>0.095</v>
      </c>
      <c r="D4" s="8">
        <v>0.839</v>
      </c>
      <c r="E4" s="7">
        <v>247.873</v>
      </c>
      <c r="F4" s="7">
        <v>2758640</v>
      </c>
      <c r="G4" s="7">
        <v>0.1601</v>
      </c>
      <c r="H4" s="7">
        <v>0.7812</v>
      </c>
      <c r="I4" s="7">
        <v>377.433</v>
      </c>
      <c r="J4" s="7">
        <v>3.14718</v>
      </c>
      <c r="K4" s="7">
        <v>0.0927</v>
      </c>
      <c r="L4" s="7">
        <v>0.8377</v>
      </c>
      <c r="M4" s="7">
        <v>126.039</v>
      </c>
      <c r="N4" s="7">
        <v>7.397948</v>
      </c>
      <c r="O4" s="7">
        <v>0.0702</v>
      </c>
      <c r="P4" s="7">
        <v>0.8402</v>
      </c>
      <c r="Q4" s="7">
        <v>127.47</v>
      </c>
      <c r="R4" s="7">
        <v>21.078059</v>
      </c>
    </row>
    <row r="5" ht="18.35" spans="1:18">
      <c r="A5" s="5"/>
      <c r="B5" s="5">
        <v>8</v>
      </c>
      <c r="C5" s="8">
        <v>0.1442</v>
      </c>
      <c r="D5" s="8">
        <v>0.7743</v>
      </c>
      <c r="E5" s="7">
        <v>282.228</v>
      </c>
      <c r="F5" s="7">
        <v>2758672</v>
      </c>
      <c r="G5" s="7">
        <v>0.9559</v>
      </c>
      <c r="H5" s="7">
        <v>0.1322</v>
      </c>
      <c r="I5" s="7">
        <v>377.435</v>
      </c>
      <c r="J5" s="7">
        <v>3.147272</v>
      </c>
      <c r="K5" s="7">
        <v>0.2028</v>
      </c>
      <c r="L5" s="7">
        <v>0.6954</v>
      </c>
      <c r="M5" s="7">
        <v>140.868</v>
      </c>
      <c r="N5" s="7">
        <v>7.397966</v>
      </c>
      <c r="O5" s="7">
        <v>0.1536</v>
      </c>
      <c r="P5" s="7">
        <v>0.7695</v>
      </c>
      <c r="Q5" s="7">
        <v>142.245</v>
      </c>
      <c r="R5" s="7">
        <v>21.078087</v>
      </c>
    </row>
    <row r="6" ht="18.35" spans="1:18">
      <c r="A6" s="5">
        <v>60</v>
      </c>
      <c r="B6" s="5">
        <v>2</v>
      </c>
      <c r="C6" s="7">
        <v>0.1718</v>
      </c>
      <c r="D6" s="7">
        <v>0.719</v>
      </c>
      <c r="E6" s="7">
        <v>226.195</v>
      </c>
      <c r="F6" s="7">
        <v>2758608</v>
      </c>
      <c r="G6" s="7">
        <v>0.1555</v>
      </c>
      <c r="H6" s="7">
        <v>0.7478</v>
      </c>
      <c r="I6" s="7">
        <v>377.431</v>
      </c>
      <c r="J6" s="7">
        <v>3.147088</v>
      </c>
      <c r="K6" s="7">
        <v>0.1411</v>
      </c>
      <c r="L6" s="7">
        <v>0.7456</v>
      </c>
      <c r="M6" s="7">
        <v>111.211</v>
      </c>
      <c r="N6" s="7">
        <v>7.397938</v>
      </c>
      <c r="O6" s="7">
        <v>0.1458</v>
      </c>
      <c r="P6" s="7">
        <v>0.7504</v>
      </c>
      <c r="Q6" s="7">
        <v>112.695</v>
      </c>
      <c r="R6" s="7">
        <v>21.078039</v>
      </c>
    </row>
    <row r="7" ht="18.35" spans="1:18">
      <c r="A7" s="5"/>
      <c r="B7" s="5">
        <v>4</v>
      </c>
      <c r="C7" s="6">
        <v>0.1954</v>
      </c>
      <c r="D7" s="8">
        <v>0.6989</v>
      </c>
      <c r="E7" s="7">
        <v>248.323</v>
      </c>
      <c r="F7" s="7">
        <v>2758640</v>
      </c>
      <c r="G7" s="7">
        <v>0.3589</v>
      </c>
      <c r="H7" s="7">
        <v>0.5882</v>
      </c>
      <c r="I7" s="7">
        <v>377.433</v>
      </c>
      <c r="J7" s="7">
        <v>3.14718</v>
      </c>
      <c r="K7" s="7">
        <v>0.1943</v>
      </c>
      <c r="L7" s="7">
        <v>0.6861</v>
      </c>
      <c r="M7" s="7">
        <v>126.039</v>
      </c>
      <c r="N7" s="7">
        <v>7.397948</v>
      </c>
      <c r="O7" s="7">
        <v>0.1937</v>
      </c>
      <c r="P7" s="7">
        <v>0.698</v>
      </c>
      <c r="Q7" s="7">
        <v>127.47</v>
      </c>
      <c r="R7" s="7">
        <v>21.078059</v>
      </c>
    </row>
    <row r="8" ht="18.35" spans="1:18">
      <c r="A8" s="5"/>
      <c r="B8" s="5">
        <v>8</v>
      </c>
      <c r="C8" s="8">
        <v>0.228</v>
      </c>
      <c r="D8" s="8">
        <v>0.6688</v>
      </c>
      <c r="E8" s="7">
        <v>275.562</v>
      </c>
      <c r="F8" s="7">
        <v>2758672</v>
      </c>
      <c r="G8" s="7">
        <v>0.9942</v>
      </c>
      <c r="H8" s="7">
        <v>0.0458</v>
      </c>
      <c r="I8" s="7">
        <v>377.435</v>
      </c>
      <c r="J8" s="7">
        <v>3.147272</v>
      </c>
      <c r="K8" s="7">
        <v>0.6444</v>
      </c>
      <c r="L8" s="7">
        <v>0.3925</v>
      </c>
      <c r="M8" s="7">
        <v>140.868</v>
      </c>
      <c r="N8" s="7">
        <v>7.397966</v>
      </c>
      <c r="O8" s="7">
        <v>0.2368</v>
      </c>
      <c r="P8" s="7">
        <v>0.652</v>
      </c>
      <c r="Q8" s="7">
        <v>142.245</v>
      </c>
      <c r="R8" s="7">
        <v>21.078087</v>
      </c>
    </row>
    <row r="9" ht="18.35" spans="1:18">
      <c r="A9" s="5">
        <v>120</v>
      </c>
      <c r="B9" s="5">
        <v>2</v>
      </c>
      <c r="C9" s="7">
        <v>0.1932</v>
      </c>
      <c r="D9" s="7">
        <v>0.6911</v>
      </c>
      <c r="E9" s="7">
        <v>226.9</v>
      </c>
      <c r="F9" s="7">
        <v>2758608</v>
      </c>
      <c r="G9" s="7">
        <v>0.1926</v>
      </c>
      <c r="H9" s="7">
        <v>0.6985</v>
      </c>
      <c r="I9" s="7">
        <v>377.431</v>
      </c>
      <c r="J9" s="7">
        <v>3.147088</v>
      </c>
      <c r="K9" s="7">
        <v>0.1778</v>
      </c>
      <c r="L9" s="7">
        <v>0.6997</v>
      </c>
      <c r="M9" s="7">
        <v>111.211</v>
      </c>
      <c r="N9" s="7">
        <v>7.397938</v>
      </c>
      <c r="O9" s="7">
        <v>0.1817</v>
      </c>
      <c r="P9" s="7">
        <v>0.7041</v>
      </c>
      <c r="Q9" s="7">
        <v>112.695</v>
      </c>
      <c r="R9" s="7">
        <v>21.078039</v>
      </c>
    </row>
    <row r="10" ht="18.35" spans="1:18">
      <c r="A10" s="5"/>
      <c r="B10" s="5">
        <v>4</v>
      </c>
      <c r="C10" s="8">
        <v>0.2261</v>
      </c>
      <c r="D10" s="8">
        <v>0.6659</v>
      </c>
      <c r="E10" s="7">
        <v>248.519</v>
      </c>
      <c r="F10" s="7">
        <v>2758640</v>
      </c>
      <c r="G10" s="7">
        <v>0.5866</v>
      </c>
      <c r="H10" s="7">
        <v>0.4336</v>
      </c>
      <c r="I10" s="7">
        <v>377.433</v>
      </c>
      <c r="J10" s="7">
        <v>3.14718</v>
      </c>
      <c r="K10" s="7">
        <v>0.2264</v>
      </c>
      <c r="L10" s="7">
        <v>0.6508</v>
      </c>
      <c r="M10" s="7">
        <v>126.039</v>
      </c>
      <c r="N10" s="7">
        <v>7.397948</v>
      </c>
      <c r="O10" s="7">
        <v>0.2211</v>
      </c>
      <c r="P10" s="7">
        <v>0.6685</v>
      </c>
      <c r="Q10" s="7">
        <v>127.47</v>
      </c>
      <c r="R10" s="7">
        <v>21.078059</v>
      </c>
    </row>
    <row r="11" ht="18.35" spans="1:18">
      <c r="A11" s="5"/>
      <c r="B11" s="5">
        <v>8</v>
      </c>
      <c r="C11" s="8">
        <v>0.263</v>
      </c>
      <c r="D11" s="8">
        <v>0.6467</v>
      </c>
      <c r="E11" s="7">
        <v>281.11</v>
      </c>
      <c r="F11" s="7">
        <v>2758672</v>
      </c>
      <c r="G11" s="7">
        <v>0.9986</v>
      </c>
      <c r="H11" s="7">
        <v>0.0175</v>
      </c>
      <c r="I11" s="7">
        <v>377.435</v>
      </c>
      <c r="J11" s="7">
        <v>3.147272</v>
      </c>
      <c r="K11" s="7">
        <v>0.4421</v>
      </c>
      <c r="L11" s="7">
        <v>0.5215</v>
      </c>
      <c r="M11" s="7">
        <v>140.868</v>
      </c>
      <c r="N11" s="7">
        <v>7.397966</v>
      </c>
      <c r="O11" s="7">
        <v>0.2832</v>
      </c>
      <c r="P11" s="7">
        <v>0.63</v>
      </c>
      <c r="Q11" s="7">
        <v>142.245</v>
      </c>
      <c r="R11" s="7">
        <v>21.078087</v>
      </c>
    </row>
    <row r="12" ht="18.35" spans="1:18">
      <c r="A12" s="5" t="s">
        <v>10</v>
      </c>
      <c r="B12" s="5">
        <v>2</v>
      </c>
      <c r="C12" s="7">
        <v>0.1537</v>
      </c>
      <c r="D12" s="7">
        <v>0.7653</v>
      </c>
      <c r="E12" s="7">
        <v>229.854</v>
      </c>
      <c r="F12" s="7">
        <v>2758608</v>
      </c>
      <c r="G12" s="7">
        <v>0.147</v>
      </c>
      <c r="H12" s="7">
        <v>0.7638</v>
      </c>
      <c r="I12" s="7">
        <v>377.431</v>
      </c>
      <c r="J12" s="7">
        <v>3.147088</v>
      </c>
      <c r="K12" s="7">
        <v>0.1306</v>
      </c>
      <c r="L12" s="7">
        <v>0.7797</v>
      </c>
      <c r="M12" s="7">
        <v>111.211</v>
      </c>
      <c r="N12" s="7">
        <v>7.397938</v>
      </c>
      <c r="O12" s="7">
        <v>0.1307</v>
      </c>
      <c r="P12" s="7">
        <v>0.7713</v>
      </c>
      <c r="Q12" s="7">
        <v>112.695</v>
      </c>
      <c r="R12" s="7">
        <v>21.078039</v>
      </c>
    </row>
    <row r="13" ht="18.35" spans="1:18">
      <c r="A13" s="5"/>
      <c r="B13" s="5">
        <v>4</v>
      </c>
      <c r="C13" s="8">
        <v>0.1889</v>
      </c>
      <c r="D13" s="8">
        <v>0.7036</v>
      </c>
      <c r="E13" s="7">
        <v>248.323</v>
      </c>
      <c r="F13" s="7">
        <v>2758640</v>
      </c>
      <c r="G13" s="7">
        <v>0.6577</v>
      </c>
      <c r="H13" s="7">
        <v>0.4079</v>
      </c>
      <c r="I13" s="7">
        <v>377.433</v>
      </c>
      <c r="J13" s="7">
        <v>3.14718</v>
      </c>
      <c r="K13" s="7">
        <v>0.2251</v>
      </c>
      <c r="L13" s="7">
        <v>0.6631</v>
      </c>
      <c r="M13" s="7">
        <v>126.039</v>
      </c>
      <c r="N13" s="7">
        <v>7.397948</v>
      </c>
      <c r="O13" s="7">
        <v>0.1812</v>
      </c>
      <c r="P13" s="7">
        <v>0.7107</v>
      </c>
      <c r="Q13" s="7">
        <v>127.47</v>
      </c>
      <c r="R13" s="7">
        <v>21.078059</v>
      </c>
    </row>
    <row r="14" ht="18.35" spans="1:18">
      <c r="A14" s="5"/>
      <c r="B14" s="5">
        <v>8</v>
      </c>
      <c r="C14" s="8">
        <v>0.2167</v>
      </c>
      <c r="D14" s="8">
        <v>0.6857</v>
      </c>
      <c r="E14" s="7">
        <v>286.529</v>
      </c>
      <c r="F14" s="7">
        <v>2758672</v>
      </c>
      <c r="G14" s="7">
        <v>0.9993</v>
      </c>
      <c r="H14" s="7">
        <v>0.0233</v>
      </c>
      <c r="I14" s="7">
        <v>377.435</v>
      </c>
      <c r="J14" s="7">
        <v>3.147272</v>
      </c>
      <c r="K14" s="7">
        <v>0.3599</v>
      </c>
      <c r="L14" s="7">
        <v>0.5856</v>
      </c>
      <c r="M14" s="7">
        <v>140.868</v>
      </c>
      <c r="N14" s="7">
        <v>7.397966</v>
      </c>
      <c r="O14" s="7">
        <v>0.2599</v>
      </c>
      <c r="P14" s="7">
        <v>0.6548</v>
      </c>
      <c r="Q14" s="7">
        <v>142.245</v>
      </c>
      <c r="R14" s="7">
        <v>21.078087</v>
      </c>
    </row>
    <row r="15" spans="1:18">
      <c r="A15" s="9"/>
      <c r="B15" s="9"/>
      <c r="C15" s="9">
        <f>AVERAGE(C3:C14)</f>
        <v>0.17505</v>
      </c>
      <c r="D15" s="9">
        <f t="shared" ref="D15:R15" si="0">AVERAGE(D3:D14)</f>
        <v>0.733525</v>
      </c>
      <c r="E15" s="9">
        <f t="shared" si="0"/>
        <v>252.267333333333</v>
      </c>
      <c r="F15" s="9">
        <f t="shared" si="0"/>
        <v>2758640</v>
      </c>
      <c r="G15" s="9">
        <f t="shared" si="0"/>
        <v>0.518225</v>
      </c>
      <c r="H15" s="9">
        <f t="shared" si="0"/>
        <v>0.466166666666667</v>
      </c>
      <c r="I15" s="9">
        <f t="shared" si="0"/>
        <v>377.433</v>
      </c>
      <c r="J15" s="9">
        <f t="shared" si="0"/>
        <v>3.14718</v>
      </c>
      <c r="K15" s="9">
        <f t="shared" si="0"/>
        <v>0.238483333333333</v>
      </c>
      <c r="L15" s="9">
        <f t="shared" si="0"/>
        <v>0.682291666666667</v>
      </c>
      <c r="M15" s="9">
        <f t="shared" si="0"/>
        <v>126.039333333333</v>
      </c>
      <c r="N15" s="9">
        <f t="shared" si="0"/>
        <v>7.39795066666667</v>
      </c>
      <c r="O15" s="9">
        <f t="shared" si="0"/>
        <v>0.17265</v>
      </c>
      <c r="P15" s="9">
        <f t="shared" si="0"/>
        <v>0.733325</v>
      </c>
      <c r="Q15" s="9">
        <f t="shared" si="0"/>
        <v>127.47</v>
      </c>
      <c r="R15" s="9">
        <f t="shared" si="0"/>
        <v>21.0780616666667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F5" sqref="E5:F5"/>
    </sheetView>
  </sheetViews>
  <sheetFormatPr defaultColWidth="9.14285714285714" defaultRowHeight="16.8"/>
  <cols>
    <col min="1" max="1" width="15.625" customWidth="1"/>
    <col min="2" max="2" width="16.6607142857143" customWidth="1"/>
    <col min="5" max="5" width="15.3303571428571" customWidth="1"/>
    <col min="6" max="6" width="10.1428571428571"/>
    <col min="9" max="9" width="12.3482142857143" customWidth="1"/>
    <col min="10" max="10" width="10.1428571428571"/>
  </cols>
  <sheetData>
    <row r="1" ht="17.6" spans="1:10">
      <c r="A1" s="1"/>
      <c r="B1" s="1"/>
      <c r="C1" s="2" t="s">
        <v>14</v>
      </c>
      <c r="D1" s="1"/>
      <c r="E1" s="2"/>
      <c r="F1" s="2"/>
      <c r="G1" s="2" t="s">
        <v>15</v>
      </c>
      <c r="H1" s="1"/>
      <c r="I1" s="1"/>
      <c r="J1" s="1"/>
    </row>
    <row r="2" ht="17.6" spans="1:10">
      <c r="A2" s="2" t="s">
        <v>16</v>
      </c>
      <c r="B2" s="2" t="s">
        <v>17</v>
      </c>
      <c r="C2" s="2" t="s">
        <v>18</v>
      </c>
      <c r="D2" s="2" t="s">
        <v>19</v>
      </c>
      <c r="E2" s="2" t="s">
        <v>8</v>
      </c>
      <c r="F2" s="2" t="s">
        <v>9</v>
      </c>
      <c r="G2" s="2" t="s">
        <v>20</v>
      </c>
      <c r="H2" s="2" t="s">
        <v>21</v>
      </c>
      <c r="I2" s="2" t="s">
        <v>8</v>
      </c>
      <c r="J2" s="2" t="s">
        <v>9</v>
      </c>
    </row>
    <row r="3" ht="17.6" spans="1:10">
      <c r="A3" s="2" t="s">
        <v>22</v>
      </c>
      <c r="B3" s="2" t="s">
        <v>23</v>
      </c>
      <c r="C3" s="1">
        <v>0.914</v>
      </c>
      <c r="D3" s="1">
        <v>0.608</v>
      </c>
      <c r="E3" s="1">
        <v>22855040</v>
      </c>
      <c r="F3" s="1">
        <v>37971</v>
      </c>
      <c r="G3" s="1">
        <v>0.29</v>
      </c>
      <c r="H3" s="1">
        <v>0.4</v>
      </c>
      <c r="I3" s="1">
        <v>172114432</v>
      </c>
      <c r="J3" s="1">
        <v>46419</v>
      </c>
    </row>
    <row r="4" ht="17.6" spans="1:10">
      <c r="A4" s="2" t="s">
        <v>24</v>
      </c>
      <c r="B4" s="2" t="s">
        <v>23</v>
      </c>
      <c r="C4" s="1">
        <v>0.995</v>
      </c>
      <c r="D4" s="1">
        <v>0.951</v>
      </c>
      <c r="E4" s="1">
        <v>6083235840</v>
      </c>
      <c r="F4" s="1">
        <v>11222339</v>
      </c>
      <c r="G4" s="1">
        <v>0.19</v>
      </c>
      <c r="H4" s="1">
        <v>0.24</v>
      </c>
      <c r="I4" s="1">
        <v>8517048960</v>
      </c>
      <c r="J4" s="1">
        <v>11259459</v>
      </c>
    </row>
    <row r="5" ht="17.6" spans="1:10">
      <c r="A5" s="2" t="s">
        <v>25</v>
      </c>
      <c r="B5" s="2" t="s">
        <v>23</v>
      </c>
      <c r="C5" s="1">
        <v>0.973</v>
      </c>
      <c r="D5" s="1">
        <v>0.785</v>
      </c>
      <c r="E5" s="1">
        <v>6083235840</v>
      </c>
      <c r="F5" s="1">
        <v>11222339</v>
      </c>
      <c r="G5" s="1">
        <v>0.19</v>
      </c>
      <c r="H5" s="1">
        <v>0.24</v>
      </c>
      <c r="I5" s="1">
        <v>8517048960</v>
      </c>
      <c r="J5" s="1">
        <v>11259459</v>
      </c>
    </row>
    <row r="6" spans="1:8">
      <c r="A6" s="3"/>
      <c r="B6" s="3"/>
      <c r="C6" s="3"/>
      <c r="D6" s="3"/>
      <c r="E6" s="3"/>
      <c r="F6" s="3"/>
      <c r="G6" s="3"/>
      <c r="H6" s="3"/>
    </row>
    <row r="8" spans="1:1">
      <c r="A8" t="s">
        <v>26</v>
      </c>
    </row>
    <row r="9" spans="1:1">
      <c r="A9" t="s">
        <v>27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18" sqref="J18"/>
    </sheetView>
  </sheetViews>
  <sheetFormatPr defaultColWidth="9.14285714285714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MIMO</vt:lpstr>
      <vt:lpstr>SISO</vt:lpstr>
      <vt:lpstr>Blockage</vt:lpstr>
      <vt:lpstr>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吴伯涛</cp:lastModifiedBy>
  <dcterms:created xsi:type="dcterms:W3CDTF">2015-06-07T02:19:00Z</dcterms:created>
  <dcterms:modified xsi:type="dcterms:W3CDTF">2026-01-16T00:46:30Z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2052-6.12.1.8902</vt:lpwstr>
  </property>
  <property fmtid="{D5CDD505-2E9C-101B-9397-08002B2CF9AE}" pid="3" name="ICV">
    <vt:lpwstr>4FD8CF7D73CFC4F9D4605269E640325A_42</vt:lpwstr>
  </property>
</Properties>
</file>